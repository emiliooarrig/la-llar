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ábana Diaria" sheetId="1" r:id="rId5"/>
    <sheet state="visible" name="Catálogo de Precios" sheetId="2" r:id="rId6"/>
    <sheet state="visible" name="Histórico Semanal" sheetId="3" r:id="rId7"/>
  </sheets>
  <definedNames/>
  <calcPr/>
</workbook>
</file>

<file path=xl/sharedStrings.xml><?xml version="1.0" encoding="utf-8"?>
<sst xmlns="http://schemas.openxmlformats.org/spreadsheetml/2006/main" count="133" uniqueCount="115">
  <si>
    <t>UNIDAD COCINA CENTRAL — SÁBANA DIARIA DE VENTAS</t>
  </si>
  <si>
    <t>Fecha:</t>
  </si>
  <si>
    <t>Turno:   Matutino  /  Vespertino  /  Nocturno          Responsable de caja: ________________________</t>
  </si>
  <si>
    <t>VENTAS POR MESA</t>
  </si>
  <si>
    <t>Mesa</t>
  </si>
  <si>
    <t># Folio</t>
  </si>
  <si>
    <t>Hora Apertura</t>
  </si>
  <si>
    <t>Hora Cierre</t>
  </si>
  <si>
    <t># Comensales</t>
  </si>
  <si>
    <t>Mesero</t>
  </si>
  <si>
    <t>Alimentos ($)</t>
  </si>
  <si>
    <t>Bebidas ($)</t>
  </si>
  <si>
    <t>Postres ($)</t>
  </si>
  <si>
    <t>Subtotal ($)</t>
  </si>
  <si>
    <t>Descuento ($)</t>
  </si>
  <si>
    <t>Total sin IVA ($)</t>
  </si>
  <si>
    <t>IVA 16% ($)</t>
  </si>
  <si>
    <t>Total con IVA ($)</t>
  </si>
  <si>
    <t>Efectivo ($)</t>
  </si>
  <si>
    <t>Tarjeta ($)</t>
  </si>
  <si>
    <t>Transfer. ($)</t>
  </si>
  <si>
    <t>Propina ($)</t>
  </si>
  <si>
    <t>Forma Pago</t>
  </si>
  <si>
    <t>Observaciones</t>
  </si>
  <si>
    <t>Autorizado</t>
  </si>
  <si>
    <t>Mesa 01</t>
  </si>
  <si>
    <t>Mesa 02</t>
  </si>
  <si>
    <t>Mesa 03</t>
  </si>
  <si>
    <t>Mesa 04</t>
  </si>
  <si>
    <t>Mesa 05</t>
  </si>
  <si>
    <t>Mesa 06</t>
  </si>
  <si>
    <t>Mesa 07</t>
  </si>
  <si>
    <t>Mesa 08</t>
  </si>
  <si>
    <t>Mesa 09</t>
  </si>
  <si>
    <t>Mesa 10</t>
  </si>
  <si>
    <t>Mesa 11</t>
  </si>
  <si>
    <t>Mesa 12</t>
  </si>
  <si>
    <t>TOTALES</t>
  </si>
  <si>
    <t>RESUMEN DE CAJA</t>
  </si>
  <si>
    <t>DESGLOSE POR CATEGORÍA</t>
  </si>
  <si>
    <t>CONTROL DE PERSONAL (MESEROS)</t>
  </si>
  <si>
    <t>Concepto</t>
  </si>
  <si>
    <t>Monto ($)</t>
  </si>
  <si>
    <t>Categoría</t>
  </si>
  <si>
    <t>Ventas ($)</t>
  </si>
  <si>
    <t>% del Total</t>
  </si>
  <si>
    <t>Mesas Atendidas</t>
  </si>
  <si>
    <t>Total Ventas ($)</t>
  </si>
  <si>
    <t>Total Propinas ($)</t>
  </si>
  <si>
    <t>Mesas con Descuento</t>
  </si>
  <si>
    <t>Total ventas (con IVA)</t>
  </si>
  <si>
    <t>Alimentos</t>
  </si>
  <si>
    <t>Total descuentos</t>
  </si>
  <si>
    <t>Bebidas</t>
  </si>
  <si>
    <t>Ventas netas</t>
  </si>
  <si>
    <t>Postres</t>
  </si>
  <si>
    <t>Cobro en efectivo</t>
  </si>
  <si>
    <t>Otros</t>
  </si>
  <si>
    <t>Cobro con tarjeta</t>
  </si>
  <si>
    <t>TOTAL</t>
  </si>
  <si>
    <t>Cobro por transferencia</t>
  </si>
  <si>
    <t>Total propinas</t>
  </si>
  <si>
    <t>Fondo de caja inicial</t>
  </si>
  <si>
    <t>Retiros de caja</t>
  </si>
  <si>
    <t>Cierre de caja esperado</t>
  </si>
  <si>
    <t>OBSERVACIONES GENERALES Y FIRMA DE TURNO</t>
  </si>
  <si>
    <t>Observaciones:</t>
  </si>
  <si>
    <t>Firma Encargado de Turno:</t>
  </si>
  <si>
    <t>Vo.Bo. Gerencia:</t>
  </si>
  <si>
    <t>CATÁLOGO DE PRECIOS — RESTAURANTE [NOMBRE]</t>
  </si>
  <si>
    <t>Clave</t>
  </si>
  <si>
    <t>Nombre del Platillo / Bebida</t>
  </si>
  <si>
    <t>Precio sin IVA ($)</t>
  </si>
  <si>
    <t>Precio con IVA ($)</t>
  </si>
  <si>
    <t>A-001</t>
  </si>
  <si>
    <t>Orden de tacos (3 piezas)</t>
  </si>
  <si>
    <t>A-002</t>
  </si>
  <si>
    <t>Hamburguesa clásica</t>
  </si>
  <si>
    <t>A-003</t>
  </si>
  <si>
    <t>Ensalada César</t>
  </si>
  <si>
    <t>A-004</t>
  </si>
  <si>
    <t>Pasta Alfredo</t>
  </si>
  <si>
    <t>A-005</t>
  </si>
  <si>
    <t>Filete a la plancha</t>
  </si>
  <si>
    <t>B-001</t>
  </si>
  <si>
    <t>Refresco 355ml</t>
  </si>
  <si>
    <t>B-002</t>
  </si>
  <si>
    <t>Agua mineral</t>
  </si>
  <si>
    <t>B-003</t>
  </si>
  <si>
    <t>Jugo natural</t>
  </si>
  <si>
    <t>B-004</t>
  </si>
  <si>
    <t>Café americano</t>
  </si>
  <si>
    <t>B-005</t>
  </si>
  <si>
    <t>Cerveza nacional</t>
  </si>
  <si>
    <t>P-001</t>
  </si>
  <si>
    <t>Flan napolitano</t>
  </si>
  <si>
    <t>P-002</t>
  </si>
  <si>
    <t>Brownie con helado</t>
  </si>
  <si>
    <t>P-003</t>
  </si>
  <si>
    <t>Pastel del día</t>
  </si>
  <si>
    <t>RESUMEN SEMANAL DE VENTAS — RESTAURANTE [NOMBRE]</t>
  </si>
  <si>
    <t>Día</t>
  </si>
  <si>
    <t>Fecha</t>
  </si>
  <si>
    <t>Ventas Alimentos ($)</t>
  </si>
  <si>
    <t>Ventas Bebidas ($)</t>
  </si>
  <si>
    <t>Ventas Postres ($)</t>
  </si>
  <si>
    <t>IVA ($)</t>
  </si>
  <si>
    <t>Lunes</t>
  </si>
  <si>
    <t>Martes</t>
  </si>
  <si>
    <t>Miércoles</t>
  </si>
  <si>
    <t>Jueves</t>
  </si>
  <si>
    <t>Viernes</t>
  </si>
  <si>
    <t>Sábado</t>
  </si>
  <si>
    <t>Domingo</t>
  </si>
  <si>
    <t>TOTAL SEMANA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</si>
</sst>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.00"/>
    <numFmt numFmtId="165" formatCode="0.0%"/>
  </numFmts>
  <fonts count="13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theme="1"/>
      <name val="Arial"/>
    </font>
    <font>
      <sz val="10.0"/>
      <color theme="1"/>
      <name val="Arial"/>
    </font>
    <font>
      <b/>
      <sz val="11.0"/>
      <color rgb="FFFFFFFF"/>
      <name val="Arial"/>
    </font>
    <font>
      <b/>
      <sz val="9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rgb="FFFFFFFF"/>
      <name val="Arial"/>
    </font>
    <font>
      <b/>
      <sz val="11.0"/>
      <color rgb="FF000000"/>
      <name val="Arial"/>
    </font>
    <font>
      <b/>
      <sz val="13.0"/>
      <color rgb="FFFFFFFF"/>
      <name val="Arial"/>
    </font>
    <font>
      <sz val="10.0"/>
      <color rgb="FF0000FF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5F5E3"/>
        <bgColor rgb="FFD5F5E3"/>
      </patternFill>
    </fill>
    <fill>
      <patternFill patternType="solid">
        <fgColor rgb="FFF8FBFE"/>
        <bgColor rgb="FFF8FBFE"/>
      </patternFill>
    </fill>
    <fill>
      <patternFill patternType="solid">
        <fgColor rgb="FF1E8449"/>
        <bgColor rgb="FF1E8449"/>
      </patternFill>
    </fill>
    <fill>
      <patternFill patternType="solid">
        <fgColor rgb="FF6C3483"/>
        <bgColor rgb="FF6C3483"/>
      </patternFill>
    </fill>
    <fill>
      <patternFill patternType="solid">
        <fgColor rgb="FFE8DAEF"/>
        <bgColor rgb="FFE8DAEF"/>
      </patternFill>
    </fill>
    <fill>
      <patternFill patternType="solid">
        <fgColor rgb="FFF9F1FF"/>
        <bgColor rgb="FFF9F1FF"/>
      </patternFill>
    </fill>
    <fill>
      <patternFill patternType="solid">
        <fgColor rgb="FF555555"/>
        <bgColor rgb="FF555555"/>
      </patternFill>
    </fill>
    <fill>
      <patternFill patternType="solid">
        <fgColor rgb="FFF0F4FF"/>
        <bgColor rgb="FFF0F4FF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left style="thin">
        <color rgb="FFCCCCCC"/>
      </left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0"/>
    </xf>
    <xf borderId="1" fillId="3" fontId="5" numFmtId="0" xfId="0" applyAlignment="1" applyBorder="1" applyFill="1" applyFont="1">
      <alignment horizontal="center" shrinkToFit="0" vertical="center" wrapText="0"/>
    </xf>
    <xf borderId="4" fillId="4" fontId="6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ill="1" applyFont="1">
      <alignment horizontal="center" shrinkToFit="0" vertical="center" wrapText="0"/>
    </xf>
    <xf borderId="4" fillId="5" fontId="8" numFmtId="0" xfId="0" applyAlignment="1" applyBorder="1" applyFont="1">
      <alignment horizontal="center" shrinkToFit="0" vertical="center" wrapText="0"/>
    </xf>
    <xf borderId="4" fillId="5" fontId="8" numFmtId="164" xfId="0" applyAlignment="1" applyBorder="1" applyFont="1" applyNumberFormat="1">
      <alignment horizontal="center" shrinkToFit="0" vertical="center" wrapText="0"/>
    </xf>
    <xf borderId="4" fillId="6" fontId="8" numFmtId="164" xfId="0" applyAlignment="1" applyBorder="1" applyFill="1" applyFont="1" applyNumberFormat="1">
      <alignment horizontal="center" shrinkToFit="0" vertical="center" wrapText="0"/>
    </xf>
    <xf borderId="4" fillId="7" fontId="3" numFmtId="164" xfId="0" applyAlignment="1" applyBorder="1" applyFill="1" applyFont="1" applyNumberFormat="1">
      <alignment horizontal="center" shrinkToFit="0" vertical="center" wrapText="0"/>
    </xf>
    <xf borderId="4" fillId="5" fontId="8" numFmtId="0" xfId="0" applyAlignment="1" applyBorder="1" applyFont="1">
      <alignment horizontal="left" shrinkToFit="0" vertical="center" wrapText="0"/>
    </xf>
    <xf borderId="4" fillId="8" fontId="7" numFmtId="0" xfId="0" applyAlignment="1" applyBorder="1" applyFill="1" applyFont="1">
      <alignment horizontal="center" shrinkToFit="0" vertical="center" wrapText="0"/>
    </xf>
    <xf borderId="4" fillId="8" fontId="8" numFmtId="0" xfId="0" applyAlignment="1" applyBorder="1" applyFont="1">
      <alignment horizontal="center" shrinkToFit="0" vertical="center" wrapText="0"/>
    </xf>
    <xf borderId="4" fillId="8" fontId="8" numFmtId="164" xfId="0" applyAlignment="1" applyBorder="1" applyFont="1" applyNumberFormat="1">
      <alignment horizontal="center" shrinkToFit="0" vertical="center" wrapText="0"/>
    </xf>
    <xf borderId="4" fillId="8" fontId="8" numFmtId="0" xfId="0" applyAlignment="1" applyBorder="1" applyFont="1">
      <alignment horizontal="left" shrinkToFit="0" vertical="center" wrapText="0"/>
    </xf>
    <xf borderId="5" fillId="2" fontId="5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2" fontId="9" numFmtId="164" xfId="0" applyAlignment="1" applyBorder="1" applyFont="1" applyNumberFormat="1">
      <alignment horizontal="center" shrinkToFit="0" vertical="center" wrapText="0"/>
    </xf>
    <xf borderId="4" fillId="2" fontId="5" numFmtId="0" xfId="0" applyAlignment="1" applyBorder="1" applyFont="1">
      <alignment horizontal="center" shrinkToFit="0" vertical="center" wrapText="1"/>
    </xf>
    <xf borderId="1" fillId="9" fontId="5" numFmtId="0" xfId="0" applyAlignment="1" applyBorder="1" applyFill="1" applyFont="1">
      <alignment horizontal="center" shrinkToFit="0" vertical="center" wrapText="0"/>
    </xf>
    <xf borderId="1" fillId="10" fontId="5" numFmtId="0" xfId="0" applyAlignment="1" applyBorder="1" applyFill="1" applyFont="1">
      <alignment horizontal="center" shrinkToFit="0" vertical="center" wrapText="0"/>
    </xf>
    <xf borderId="5" fillId="7" fontId="10" numFmtId="0" xfId="0" applyAlignment="1" applyBorder="1" applyFont="1">
      <alignment horizontal="center" shrinkToFit="0" vertical="center" wrapText="1"/>
    </xf>
    <xf borderId="4" fillId="7" fontId="10" numFmtId="0" xfId="0" applyAlignment="1" applyBorder="1" applyFont="1">
      <alignment horizontal="center" shrinkToFit="0" vertical="center" wrapText="1"/>
    </xf>
    <xf borderId="4" fillId="4" fontId="10" numFmtId="0" xfId="0" applyAlignment="1" applyBorder="1" applyFont="1">
      <alignment horizontal="center" shrinkToFit="0" vertical="center" wrapText="1"/>
    </xf>
    <xf borderId="4" fillId="11" fontId="10" numFmtId="0" xfId="0" applyAlignment="1" applyBorder="1" applyFill="1" applyFont="1">
      <alignment horizontal="center" shrinkToFit="0" vertical="center" wrapText="1"/>
    </xf>
    <xf borderId="5" fillId="5" fontId="4" numFmtId="0" xfId="0" applyAlignment="1" applyBorder="1" applyFont="1">
      <alignment horizontal="left" shrinkToFit="0" vertical="center" wrapText="0"/>
    </xf>
    <xf borderId="8" fillId="0" fontId="2" numFmtId="0" xfId="0" applyBorder="1" applyFont="1"/>
    <xf borderId="4" fillId="5" fontId="4" numFmtId="164" xfId="0" applyAlignment="1" applyBorder="1" applyFont="1" applyNumberFormat="1">
      <alignment horizontal="center" shrinkToFit="0" vertical="center" wrapText="0"/>
    </xf>
    <xf borderId="4" fillId="0" fontId="4" numFmtId="164" xfId="0" applyAlignment="1" applyBorder="1" applyFont="1" applyNumberFormat="1">
      <alignment horizontal="center" shrinkToFit="0" vertical="center" wrapText="0"/>
    </xf>
    <xf borderId="4" fillId="0" fontId="4" numFmtId="165" xfId="0" applyAlignment="1" applyBorder="1" applyFont="1" applyNumberFormat="1">
      <alignment horizontal="center" shrinkToFit="0" vertical="center" wrapText="0"/>
    </xf>
    <xf borderId="4" fillId="5" fontId="4" numFmtId="0" xfId="0" applyAlignment="1" applyBorder="1" applyFont="1">
      <alignment horizontal="center" shrinkToFit="0" vertical="center" wrapText="0"/>
    </xf>
    <xf borderId="4" fillId="12" fontId="4" numFmtId="0" xfId="0" applyAlignment="1" applyBorder="1" applyFill="1" applyFont="1">
      <alignment horizontal="center" shrinkToFit="0" vertical="center" wrapText="0"/>
    </xf>
    <xf borderId="4" fillId="12" fontId="4" numFmtId="164" xfId="0" applyAlignment="1" applyBorder="1" applyFont="1" applyNumberFormat="1">
      <alignment horizontal="center" shrinkToFit="0" vertical="center" wrapText="0"/>
    </xf>
    <xf borderId="5" fillId="7" fontId="3" numFmtId="0" xfId="0" applyAlignment="1" applyBorder="1" applyFont="1">
      <alignment horizontal="left" shrinkToFit="0" vertical="center" wrapText="0"/>
    </xf>
    <xf borderId="4" fillId="2" fontId="9" numFmtId="165" xfId="0" applyAlignment="1" applyBorder="1" applyFont="1" applyNumberFormat="1">
      <alignment horizontal="center" shrinkToFit="0" vertical="center" wrapText="0"/>
    </xf>
    <xf borderId="1" fillId="13" fontId="5" numFmtId="0" xfId="0" applyAlignment="1" applyBorder="1" applyFill="1" applyFont="1">
      <alignment horizontal="center" shrinkToFit="0" vertical="center" wrapText="0"/>
    </xf>
    <xf borderId="9" fillId="0" fontId="3" numFmtId="0" xfId="0" applyAlignment="1" applyBorder="1" applyFont="1">
      <alignment horizontal="left" shrinkToFit="0" vertical="top" wrapText="0"/>
    </xf>
    <xf borderId="10" fillId="0" fontId="2" numFmtId="0" xfId="0" applyBorder="1" applyFont="1"/>
    <xf borderId="9" fillId="0" fontId="3" numFmtId="0" xfId="0" applyAlignment="1" applyBorder="1" applyFont="1">
      <alignment horizontal="center" shrinkToFit="0" vertical="bottom" wrapText="0"/>
    </xf>
    <xf borderId="11" fillId="0" fontId="2" numFmtId="0" xfId="0" applyBorder="1" applyFont="1"/>
    <xf borderId="1" fillId="2" fontId="11" numFmtId="0" xfId="0" applyAlignment="1" applyBorder="1" applyFont="1">
      <alignment horizontal="center" shrinkToFit="0" vertical="center" wrapText="0"/>
    </xf>
    <xf borderId="4" fillId="3" fontId="5" numFmtId="0" xfId="0" applyAlignment="1" applyBorder="1" applyFont="1">
      <alignment horizontal="center" shrinkToFit="0" vertical="center" wrapText="0"/>
    </xf>
    <xf borderId="4" fillId="3" fontId="5" numFmtId="0" xfId="0" applyAlignment="1" applyBorder="1" applyFont="1">
      <alignment horizontal="center" shrinkToFit="0" vertical="center" wrapText="1"/>
    </xf>
    <xf borderId="4" fillId="5" fontId="12" numFmtId="164" xfId="0" applyAlignment="1" applyBorder="1" applyFont="1" applyNumberFormat="1">
      <alignment horizontal="center" shrinkToFit="0" vertical="center" wrapText="0"/>
    </xf>
    <xf borderId="4" fillId="5" fontId="3" numFmtId="164" xfId="0" applyAlignment="1" applyBorder="1" applyFont="1" applyNumberFormat="1">
      <alignment horizontal="center" shrinkToFit="0" vertical="center" wrapText="0"/>
    </xf>
    <xf borderId="4" fillId="14" fontId="8" numFmtId="0" xfId="0" applyAlignment="1" applyBorder="1" applyFill="1" applyFont="1">
      <alignment horizontal="center" shrinkToFit="0" vertical="center" wrapText="0"/>
    </xf>
    <xf borderId="4" fillId="14" fontId="8" numFmtId="0" xfId="0" applyAlignment="1" applyBorder="1" applyFont="1">
      <alignment horizontal="left" shrinkToFit="0" vertical="center" wrapText="0"/>
    </xf>
    <xf borderId="4" fillId="14" fontId="12" numFmtId="164" xfId="0" applyAlignment="1" applyBorder="1" applyFont="1" applyNumberFormat="1">
      <alignment horizontal="center" shrinkToFit="0" vertical="center" wrapText="0"/>
    </xf>
    <xf borderId="4" fillId="14" fontId="4" numFmtId="164" xfId="0" applyAlignment="1" applyBorder="1" applyFont="1" applyNumberFormat="1">
      <alignment horizontal="center" shrinkToFit="0" vertical="center" wrapText="0"/>
    </xf>
    <xf borderId="4" fillId="14" fontId="3" numFmtId="164" xfId="0" applyAlignment="1" applyBorder="1" applyFont="1" applyNumberFormat="1">
      <alignment horizontal="center" shrinkToFit="0" vertical="center" wrapText="0"/>
    </xf>
    <xf borderId="4" fillId="14" fontId="7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8.0"/>
    <col customWidth="1" min="2" max="2" width="9.0"/>
    <col customWidth="1" min="3" max="4" width="12.0"/>
    <col customWidth="1" min="5" max="5" width="10.0"/>
    <col customWidth="1" min="6" max="6" width="14.0"/>
    <col customWidth="1" min="7" max="9" width="12.0"/>
    <col customWidth="1" min="10" max="10" width="13.0"/>
    <col customWidth="1" min="11" max="11" width="12.0"/>
    <col customWidth="1" min="12" max="12" width="14.0"/>
    <col customWidth="1" min="13" max="13" width="13.0"/>
    <col customWidth="1" min="14" max="14" width="14.0"/>
    <col customWidth="1" min="15" max="17" width="12.0"/>
    <col customWidth="1" min="18" max="18" width="11.0"/>
    <col customWidth="1" min="19" max="19" width="14.0"/>
    <col customWidth="1" min="20" max="20" width="18.0"/>
    <col customWidth="1" min="21" max="21" width="12.0"/>
    <col customWidth="1" min="22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9.5" customHeight="1">
      <c r="A2" s="4" t="s">
        <v>1</v>
      </c>
      <c r="H2" s="5" t="s">
        <v>2</v>
      </c>
    </row>
    <row r="3" ht="7.5" customHeight="1"/>
    <row r="4" ht="21.75" customHeight="1">
      <c r="A4" s="6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3"/>
    </row>
    <row r="5" ht="39.75" customHeight="1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  <c r="N5" s="7" t="s">
        <v>17</v>
      </c>
      <c r="O5" s="7" t="s">
        <v>18</v>
      </c>
      <c r="P5" s="7" t="s">
        <v>19</v>
      </c>
      <c r="Q5" s="7" t="s">
        <v>20</v>
      </c>
      <c r="R5" s="7" t="s">
        <v>21</v>
      </c>
      <c r="S5" s="7" t="s">
        <v>22</v>
      </c>
      <c r="T5" s="7" t="s">
        <v>23</v>
      </c>
      <c r="U5" s="7" t="s">
        <v>24</v>
      </c>
    </row>
    <row r="6" ht="19.5" customHeight="1">
      <c r="A6" s="8" t="s">
        <v>25</v>
      </c>
      <c r="B6" s="9"/>
      <c r="C6" s="9"/>
      <c r="D6" s="9"/>
      <c r="E6" s="9"/>
      <c r="F6" s="9"/>
      <c r="G6" s="10"/>
      <c r="H6" s="10"/>
      <c r="I6" s="10"/>
      <c r="J6" s="11" t="str">
        <f t="shared" ref="J6:J17" si="1">IF(G6+H6+I6=0,"",G6+H6+I6)</f>
        <v/>
      </c>
      <c r="K6" s="10"/>
      <c r="L6" s="10" t="str">
        <f t="shared" ref="L6:L17" si="2">IF(J6="","",J6-IF(K6="",0,K6))</f>
        <v/>
      </c>
      <c r="M6" s="10" t="str">
        <f t="shared" ref="M6:M17" si="3">IF(L6="","",L6*0.16)</f>
        <v/>
      </c>
      <c r="N6" s="12" t="str">
        <f t="shared" ref="N6:N17" si="4">IF(L6="","",L6+M6)</f>
        <v/>
      </c>
      <c r="O6" s="10"/>
      <c r="P6" s="10"/>
      <c r="Q6" s="10"/>
      <c r="R6" s="10"/>
      <c r="S6" s="9"/>
      <c r="T6" s="13"/>
      <c r="U6" s="9"/>
    </row>
    <row r="7" ht="19.5" customHeight="1">
      <c r="A7" s="14" t="s">
        <v>26</v>
      </c>
      <c r="B7" s="15"/>
      <c r="C7" s="15"/>
      <c r="D7" s="15"/>
      <c r="E7" s="15"/>
      <c r="F7" s="15"/>
      <c r="G7" s="16"/>
      <c r="H7" s="16"/>
      <c r="I7" s="16"/>
      <c r="J7" s="11" t="str">
        <f t="shared" si="1"/>
        <v/>
      </c>
      <c r="K7" s="16"/>
      <c r="L7" s="16" t="str">
        <f t="shared" si="2"/>
        <v/>
      </c>
      <c r="M7" s="16" t="str">
        <f t="shared" si="3"/>
        <v/>
      </c>
      <c r="N7" s="12" t="str">
        <f t="shared" si="4"/>
        <v/>
      </c>
      <c r="O7" s="16"/>
      <c r="P7" s="16"/>
      <c r="Q7" s="16"/>
      <c r="R7" s="16"/>
      <c r="S7" s="15"/>
      <c r="T7" s="17"/>
      <c r="U7" s="15"/>
    </row>
    <row r="8" ht="19.5" customHeight="1">
      <c r="A8" s="8" t="s">
        <v>27</v>
      </c>
      <c r="B8" s="9"/>
      <c r="C8" s="9"/>
      <c r="D8" s="9"/>
      <c r="E8" s="9"/>
      <c r="F8" s="9"/>
      <c r="G8" s="10"/>
      <c r="H8" s="10"/>
      <c r="I8" s="10"/>
      <c r="J8" s="11" t="str">
        <f t="shared" si="1"/>
        <v/>
      </c>
      <c r="K8" s="10"/>
      <c r="L8" s="10" t="str">
        <f t="shared" si="2"/>
        <v/>
      </c>
      <c r="M8" s="10" t="str">
        <f t="shared" si="3"/>
        <v/>
      </c>
      <c r="N8" s="12" t="str">
        <f t="shared" si="4"/>
        <v/>
      </c>
      <c r="O8" s="10"/>
      <c r="P8" s="10"/>
      <c r="Q8" s="10"/>
      <c r="R8" s="10"/>
      <c r="S8" s="9"/>
      <c r="T8" s="13"/>
      <c r="U8" s="9"/>
    </row>
    <row r="9" ht="19.5" customHeight="1">
      <c r="A9" s="14" t="s">
        <v>28</v>
      </c>
      <c r="B9" s="15"/>
      <c r="C9" s="15"/>
      <c r="D9" s="15"/>
      <c r="E9" s="15"/>
      <c r="F9" s="15"/>
      <c r="G9" s="16"/>
      <c r="H9" s="16"/>
      <c r="I9" s="16"/>
      <c r="J9" s="11" t="str">
        <f t="shared" si="1"/>
        <v/>
      </c>
      <c r="K9" s="16"/>
      <c r="L9" s="16" t="str">
        <f t="shared" si="2"/>
        <v/>
      </c>
      <c r="M9" s="16" t="str">
        <f t="shared" si="3"/>
        <v/>
      </c>
      <c r="N9" s="12" t="str">
        <f t="shared" si="4"/>
        <v/>
      </c>
      <c r="O9" s="16"/>
      <c r="P9" s="16"/>
      <c r="Q9" s="16"/>
      <c r="R9" s="16"/>
      <c r="S9" s="15"/>
      <c r="T9" s="17"/>
      <c r="U9" s="15"/>
    </row>
    <row r="10" ht="19.5" customHeight="1">
      <c r="A10" s="8" t="s">
        <v>29</v>
      </c>
      <c r="B10" s="9"/>
      <c r="C10" s="9"/>
      <c r="D10" s="9"/>
      <c r="E10" s="9"/>
      <c r="F10" s="9"/>
      <c r="G10" s="10"/>
      <c r="H10" s="10"/>
      <c r="I10" s="10"/>
      <c r="J10" s="11" t="str">
        <f t="shared" si="1"/>
        <v/>
      </c>
      <c r="K10" s="10"/>
      <c r="L10" s="10" t="str">
        <f t="shared" si="2"/>
        <v/>
      </c>
      <c r="M10" s="10" t="str">
        <f t="shared" si="3"/>
        <v/>
      </c>
      <c r="N10" s="12" t="str">
        <f t="shared" si="4"/>
        <v/>
      </c>
      <c r="O10" s="10"/>
      <c r="P10" s="10"/>
      <c r="Q10" s="10"/>
      <c r="R10" s="10"/>
      <c r="S10" s="9"/>
      <c r="T10" s="13"/>
      <c r="U10" s="9"/>
    </row>
    <row r="11" ht="19.5" customHeight="1">
      <c r="A11" s="14" t="s">
        <v>30</v>
      </c>
      <c r="B11" s="15"/>
      <c r="C11" s="15"/>
      <c r="D11" s="15"/>
      <c r="E11" s="15"/>
      <c r="F11" s="15"/>
      <c r="G11" s="16"/>
      <c r="H11" s="16"/>
      <c r="I11" s="16"/>
      <c r="J11" s="11" t="str">
        <f t="shared" si="1"/>
        <v/>
      </c>
      <c r="K11" s="16"/>
      <c r="L11" s="16" t="str">
        <f t="shared" si="2"/>
        <v/>
      </c>
      <c r="M11" s="16" t="str">
        <f t="shared" si="3"/>
        <v/>
      </c>
      <c r="N11" s="12" t="str">
        <f t="shared" si="4"/>
        <v/>
      </c>
      <c r="O11" s="16"/>
      <c r="P11" s="16"/>
      <c r="Q11" s="16"/>
      <c r="R11" s="16"/>
      <c r="S11" s="15"/>
      <c r="T11" s="17"/>
      <c r="U11" s="15"/>
    </row>
    <row r="12" ht="19.5" customHeight="1">
      <c r="A12" s="8" t="s">
        <v>31</v>
      </c>
      <c r="B12" s="9"/>
      <c r="C12" s="9"/>
      <c r="D12" s="9"/>
      <c r="E12" s="9"/>
      <c r="F12" s="9"/>
      <c r="G12" s="10"/>
      <c r="H12" s="10"/>
      <c r="I12" s="10"/>
      <c r="J12" s="11" t="str">
        <f t="shared" si="1"/>
        <v/>
      </c>
      <c r="K12" s="10"/>
      <c r="L12" s="10" t="str">
        <f t="shared" si="2"/>
        <v/>
      </c>
      <c r="M12" s="10" t="str">
        <f t="shared" si="3"/>
        <v/>
      </c>
      <c r="N12" s="12" t="str">
        <f t="shared" si="4"/>
        <v/>
      </c>
      <c r="O12" s="10"/>
      <c r="P12" s="10"/>
      <c r="Q12" s="10"/>
      <c r="R12" s="10"/>
      <c r="S12" s="9"/>
      <c r="T12" s="13"/>
      <c r="U12" s="9"/>
    </row>
    <row r="13" ht="19.5" customHeight="1">
      <c r="A13" s="14" t="s">
        <v>32</v>
      </c>
      <c r="B13" s="15"/>
      <c r="C13" s="15"/>
      <c r="D13" s="15"/>
      <c r="E13" s="15"/>
      <c r="F13" s="15"/>
      <c r="G13" s="16"/>
      <c r="H13" s="16"/>
      <c r="I13" s="16"/>
      <c r="J13" s="11" t="str">
        <f t="shared" si="1"/>
        <v/>
      </c>
      <c r="K13" s="16"/>
      <c r="L13" s="16" t="str">
        <f t="shared" si="2"/>
        <v/>
      </c>
      <c r="M13" s="16" t="str">
        <f t="shared" si="3"/>
        <v/>
      </c>
      <c r="N13" s="12" t="str">
        <f t="shared" si="4"/>
        <v/>
      </c>
      <c r="O13" s="16"/>
      <c r="P13" s="16"/>
      <c r="Q13" s="16"/>
      <c r="R13" s="16"/>
      <c r="S13" s="15"/>
      <c r="T13" s="17"/>
      <c r="U13" s="15"/>
    </row>
    <row r="14" ht="19.5" customHeight="1">
      <c r="A14" s="8" t="s">
        <v>33</v>
      </c>
      <c r="B14" s="9"/>
      <c r="C14" s="9"/>
      <c r="D14" s="9"/>
      <c r="E14" s="9"/>
      <c r="F14" s="9"/>
      <c r="G14" s="10"/>
      <c r="H14" s="10"/>
      <c r="I14" s="10"/>
      <c r="J14" s="11" t="str">
        <f t="shared" si="1"/>
        <v/>
      </c>
      <c r="K14" s="10"/>
      <c r="L14" s="10" t="str">
        <f t="shared" si="2"/>
        <v/>
      </c>
      <c r="M14" s="10" t="str">
        <f t="shared" si="3"/>
        <v/>
      </c>
      <c r="N14" s="12" t="str">
        <f t="shared" si="4"/>
        <v/>
      </c>
      <c r="O14" s="10"/>
      <c r="P14" s="10"/>
      <c r="Q14" s="10"/>
      <c r="R14" s="10"/>
      <c r="S14" s="9"/>
      <c r="T14" s="13"/>
      <c r="U14" s="9"/>
    </row>
    <row r="15" ht="19.5" customHeight="1">
      <c r="A15" s="14" t="s">
        <v>34</v>
      </c>
      <c r="B15" s="15"/>
      <c r="C15" s="15"/>
      <c r="D15" s="15"/>
      <c r="E15" s="15"/>
      <c r="F15" s="15"/>
      <c r="G15" s="16"/>
      <c r="H15" s="16"/>
      <c r="I15" s="16"/>
      <c r="J15" s="11" t="str">
        <f t="shared" si="1"/>
        <v/>
      </c>
      <c r="K15" s="16"/>
      <c r="L15" s="16" t="str">
        <f t="shared" si="2"/>
        <v/>
      </c>
      <c r="M15" s="16" t="str">
        <f t="shared" si="3"/>
        <v/>
      </c>
      <c r="N15" s="12" t="str">
        <f t="shared" si="4"/>
        <v/>
      </c>
      <c r="O15" s="16"/>
      <c r="P15" s="16"/>
      <c r="Q15" s="16"/>
      <c r="R15" s="16"/>
      <c r="S15" s="15"/>
      <c r="T15" s="17"/>
      <c r="U15" s="15"/>
    </row>
    <row r="16" ht="19.5" customHeight="1">
      <c r="A16" s="8" t="s">
        <v>35</v>
      </c>
      <c r="B16" s="9"/>
      <c r="C16" s="9"/>
      <c r="D16" s="9"/>
      <c r="E16" s="9"/>
      <c r="F16" s="9"/>
      <c r="G16" s="10"/>
      <c r="H16" s="10"/>
      <c r="I16" s="10"/>
      <c r="J16" s="11" t="str">
        <f t="shared" si="1"/>
        <v/>
      </c>
      <c r="K16" s="10"/>
      <c r="L16" s="10" t="str">
        <f t="shared" si="2"/>
        <v/>
      </c>
      <c r="M16" s="10" t="str">
        <f t="shared" si="3"/>
        <v/>
      </c>
      <c r="N16" s="12" t="str">
        <f t="shared" si="4"/>
        <v/>
      </c>
      <c r="O16" s="10"/>
      <c r="P16" s="10"/>
      <c r="Q16" s="10"/>
      <c r="R16" s="10"/>
      <c r="S16" s="9"/>
      <c r="T16" s="13"/>
      <c r="U16" s="9"/>
    </row>
    <row r="17" ht="19.5" customHeight="1">
      <c r="A17" s="14" t="s">
        <v>36</v>
      </c>
      <c r="B17" s="15"/>
      <c r="C17" s="15"/>
      <c r="D17" s="15"/>
      <c r="E17" s="15"/>
      <c r="F17" s="15"/>
      <c r="G17" s="16"/>
      <c r="H17" s="16"/>
      <c r="I17" s="16"/>
      <c r="J17" s="11" t="str">
        <f t="shared" si="1"/>
        <v/>
      </c>
      <c r="K17" s="16"/>
      <c r="L17" s="16" t="str">
        <f t="shared" si="2"/>
        <v/>
      </c>
      <c r="M17" s="16" t="str">
        <f t="shared" si="3"/>
        <v/>
      </c>
      <c r="N17" s="12" t="str">
        <f t="shared" si="4"/>
        <v/>
      </c>
      <c r="O17" s="16"/>
      <c r="P17" s="16"/>
      <c r="Q17" s="16"/>
      <c r="R17" s="16"/>
      <c r="S17" s="15"/>
      <c r="T17" s="17"/>
      <c r="U17" s="15"/>
    </row>
    <row r="18" ht="21.75" customHeight="1">
      <c r="A18" s="18" t="s">
        <v>37</v>
      </c>
      <c r="B18" s="19"/>
      <c r="C18" s="19"/>
      <c r="D18" s="19"/>
      <c r="E18" s="19"/>
      <c r="F18" s="20"/>
      <c r="G18" s="21">
        <f t="shared" ref="G18:R18" si="5">SUM(G6:G17)</f>
        <v>0</v>
      </c>
      <c r="H18" s="21">
        <f t="shared" si="5"/>
        <v>0</v>
      </c>
      <c r="I18" s="21">
        <f t="shared" si="5"/>
        <v>0</v>
      </c>
      <c r="J18" s="21">
        <f t="shared" si="5"/>
        <v>0</v>
      </c>
      <c r="K18" s="21">
        <f t="shared" si="5"/>
        <v>0</v>
      </c>
      <c r="L18" s="21">
        <f t="shared" si="5"/>
        <v>0</v>
      </c>
      <c r="M18" s="21">
        <f t="shared" si="5"/>
        <v>0</v>
      </c>
      <c r="N18" s="21">
        <f t="shared" si="5"/>
        <v>0</v>
      </c>
      <c r="O18" s="21">
        <f t="shared" si="5"/>
        <v>0</v>
      </c>
      <c r="P18" s="21">
        <f t="shared" si="5"/>
        <v>0</v>
      </c>
      <c r="Q18" s="21">
        <f t="shared" si="5"/>
        <v>0</v>
      </c>
      <c r="R18" s="21">
        <f t="shared" si="5"/>
        <v>0</v>
      </c>
      <c r="S18" s="22"/>
      <c r="T18" s="22"/>
      <c r="U18" s="22"/>
    </row>
    <row r="19" ht="9.75" customHeight="1"/>
    <row r="20" ht="21.75" customHeight="1">
      <c r="A20" s="23" t="s">
        <v>38</v>
      </c>
      <c r="B20" s="2"/>
      <c r="C20" s="2"/>
      <c r="D20" s="2"/>
      <c r="E20" s="2"/>
      <c r="F20" s="2"/>
      <c r="G20" s="3"/>
      <c r="I20" s="6" t="s">
        <v>39</v>
      </c>
      <c r="J20" s="2"/>
      <c r="K20" s="2"/>
      <c r="L20" s="2"/>
      <c r="M20" s="2"/>
      <c r="N20" s="3"/>
      <c r="O20" s="24" t="s">
        <v>40</v>
      </c>
      <c r="P20" s="2"/>
      <c r="Q20" s="2"/>
      <c r="R20" s="2"/>
      <c r="S20" s="2"/>
      <c r="T20" s="2"/>
      <c r="U20" s="3"/>
    </row>
    <row r="21" ht="51.75" customHeight="1">
      <c r="A21" s="25" t="s">
        <v>41</v>
      </c>
      <c r="B21" s="19"/>
      <c r="C21" s="19"/>
      <c r="D21" s="19"/>
      <c r="E21" s="19"/>
      <c r="F21" s="20"/>
      <c r="G21" s="26" t="s">
        <v>42</v>
      </c>
      <c r="I21" s="27" t="s">
        <v>43</v>
      </c>
      <c r="J21" s="27" t="s">
        <v>44</v>
      </c>
      <c r="K21" s="27" t="s">
        <v>45</v>
      </c>
      <c r="N21" s="28" t="s">
        <v>9</v>
      </c>
      <c r="O21" s="28" t="s">
        <v>46</v>
      </c>
      <c r="P21" s="28" t="s">
        <v>47</v>
      </c>
      <c r="Q21" s="28" t="s">
        <v>48</v>
      </c>
      <c r="R21" s="28" t="s">
        <v>49</v>
      </c>
    </row>
    <row r="22" ht="15.75" customHeight="1">
      <c r="A22" s="29" t="s">
        <v>50</v>
      </c>
      <c r="B22" s="19"/>
      <c r="C22" s="19"/>
      <c r="D22" s="19"/>
      <c r="E22" s="19"/>
      <c r="F22" s="30"/>
      <c r="G22" s="31">
        <f>N18</f>
        <v>0</v>
      </c>
      <c r="I22" s="13" t="s">
        <v>51</v>
      </c>
      <c r="J22" s="32">
        <f>G18</f>
        <v>0</v>
      </c>
      <c r="K22" s="33">
        <f>IF(N18=0,0,J22/N18)</f>
        <v>0</v>
      </c>
      <c r="N22" s="34"/>
      <c r="O22" s="34"/>
      <c r="P22" s="31"/>
      <c r="Q22" s="31"/>
      <c r="R22" s="34"/>
    </row>
    <row r="23" ht="15.75" customHeight="1">
      <c r="A23" s="29" t="s">
        <v>52</v>
      </c>
      <c r="B23" s="19"/>
      <c r="C23" s="19"/>
      <c r="D23" s="19"/>
      <c r="E23" s="19"/>
      <c r="F23" s="30"/>
      <c r="G23" s="31">
        <f>K18</f>
        <v>0</v>
      </c>
      <c r="I23" s="17" t="s">
        <v>53</v>
      </c>
      <c r="J23" s="32">
        <f>H18</f>
        <v>0</v>
      </c>
      <c r="K23" s="33">
        <f>IF(N18=0,0,J23/N18)</f>
        <v>0</v>
      </c>
      <c r="N23" s="35"/>
      <c r="O23" s="35"/>
      <c r="P23" s="36"/>
      <c r="Q23" s="36"/>
      <c r="R23" s="35"/>
    </row>
    <row r="24" ht="18.0" customHeight="1">
      <c r="A24" s="37" t="s">
        <v>54</v>
      </c>
      <c r="B24" s="19"/>
      <c r="C24" s="19"/>
      <c r="D24" s="19"/>
      <c r="E24" s="19"/>
      <c r="F24" s="30"/>
      <c r="G24" s="12">
        <f>N18-K18</f>
        <v>0</v>
      </c>
      <c r="I24" s="13" t="s">
        <v>55</v>
      </c>
      <c r="J24" s="32">
        <f>I18</f>
        <v>0</v>
      </c>
      <c r="K24" s="33">
        <f>IF(N18=0,0,J24/N18)</f>
        <v>0</v>
      </c>
      <c r="N24" s="34"/>
      <c r="O24" s="34"/>
      <c r="P24" s="31"/>
      <c r="Q24" s="31"/>
      <c r="R24" s="34"/>
    </row>
    <row r="25" ht="15.75" customHeight="1">
      <c r="A25" s="29" t="s">
        <v>56</v>
      </c>
      <c r="B25" s="19"/>
      <c r="C25" s="19"/>
      <c r="D25" s="19"/>
      <c r="E25" s="19"/>
      <c r="F25" s="30"/>
      <c r="G25" s="31">
        <f>O18</f>
        <v>0</v>
      </c>
      <c r="I25" s="17" t="s">
        <v>57</v>
      </c>
      <c r="J25" s="32">
        <f>0</f>
        <v>0</v>
      </c>
      <c r="K25" s="33">
        <f>IF(N18=0,0,J25/N18)</f>
        <v>0</v>
      </c>
      <c r="N25" s="35"/>
      <c r="O25" s="35"/>
      <c r="P25" s="36"/>
      <c r="Q25" s="36"/>
      <c r="R25" s="35"/>
    </row>
    <row r="26" ht="15.75" customHeight="1">
      <c r="A26" s="29" t="s">
        <v>58</v>
      </c>
      <c r="B26" s="19"/>
      <c r="C26" s="19"/>
      <c r="D26" s="19"/>
      <c r="E26" s="19"/>
      <c r="F26" s="30"/>
      <c r="G26" s="31">
        <f>P18</f>
        <v>0</v>
      </c>
      <c r="I26" s="22" t="s">
        <v>59</v>
      </c>
      <c r="J26" s="21">
        <f t="shared" ref="J26:K26" si="6">SUM(J22:J25)</f>
        <v>0</v>
      </c>
      <c r="K26" s="38">
        <f t="shared" si="6"/>
        <v>0</v>
      </c>
      <c r="N26" s="34"/>
      <c r="O26" s="34"/>
      <c r="P26" s="31"/>
      <c r="Q26" s="31"/>
      <c r="R26" s="34"/>
    </row>
    <row r="27" ht="15.75" customHeight="1">
      <c r="A27" s="29" t="s">
        <v>60</v>
      </c>
      <c r="B27" s="19"/>
      <c r="C27" s="19"/>
      <c r="D27" s="19"/>
      <c r="E27" s="19"/>
      <c r="F27" s="30"/>
      <c r="G27" s="31">
        <f>Q18</f>
        <v>0</v>
      </c>
    </row>
    <row r="28" ht="15.75" customHeight="1">
      <c r="A28" s="29" t="s">
        <v>61</v>
      </c>
      <c r="B28" s="19"/>
      <c r="C28" s="19"/>
      <c r="D28" s="19"/>
      <c r="E28" s="19"/>
      <c r="F28" s="30"/>
      <c r="G28" s="31">
        <f>R18</f>
        <v>0</v>
      </c>
    </row>
    <row r="29" ht="15.75" customHeight="1">
      <c r="A29" s="29" t="s">
        <v>62</v>
      </c>
      <c r="B29" s="19"/>
      <c r="C29" s="19"/>
      <c r="D29" s="19"/>
      <c r="E29" s="19"/>
      <c r="F29" s="30"/>
      <c r="G29" s="31"/>
    </row>
    <row r="30" ht="15.75" customHeight="1">
      <c r="A30" s="29" t="s">
        <v>63</v>
      </c>
      <c r="B30" s="19"/>
      <c r="C30" s="19"/>
      <c r="D30" s="19"/>
      <c r="E30" s="19"/>
      <c r="F30" s="30"/>
      <c r="G30" s="31"/>
    </row>
    <row r="31" ht="15.75" customHeight="1">
      <c r="A31" s="37" t="s">
        <v>64</v>
      </c>
      <c r="B31" s="19"/>
      <c r="C31" s="19"/>
      <c r="D31" s="19"/>
      <c r="E31" s="19"/>
      <c r="F31" s="30"/>
      <c r="G31" s="12">
        <f>O18+G29</f>
        <v>0</v>
      </c>
    </row>
    <row r="32" ht="15.75" customHeight="1"/>
    <row r="33" ht="21.75" customHeight="1">
      <c r="A33" s="39" t="s">
        <v>65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3"/>
    </row>
    <row r="34" ht="24.75" customHeight="1">
      <c r="A34" s="40" t="s">
        <v>66</v>
      </c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2" t="s">
        <v>67</v>
      </c>
      <c r="P34" s="41"/>
      <c r="Q34" s="41"/>
      <c r="R34" s="41"/>
      <c r="S34" s="42" t="s">
        <v>68</v>
      </c>
      <c r="T34" s="41"/>
      <c r="U34" s="41"/>
    </row>
    <row r="35" ht="24.75" customHeight="1">
      <c r="A35" s="43"/>
      <c r="O35" s="43"/>
      <c r="S35" s="43"/>
    </row>
    <row r="36" ht="24.75" customHeight="1">
      <c r="A36" s="43"/>
      <c r="O36" s="43"/>
      <c r="S36" s="43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U1"/>
    <mergeCell ref="A2:G2"/>
    <mergeCell ref="H2:U2"/>
    <mergeCell ref="A4:U4"/>
    <mergeCell ref="A18:F18"/>
    <mergeCell ref="I20:N20"/>
    <mergeCell ref="O20:U20"/>
    <mergeCell ref="A20:G20"/>
    <mergeCell ref="A21:F21"/>
    <mergeCell ref="A22:F22"/>
    <mergeCell ref="A23:F23"/>
    <mergeCell ref="A24:F24"/>
    <mergeCell ref="A25:F25"/>
    <mergeCell ref="A26:F26"/>
    <mergeCell ref="O34:R36"/>
    <mergeCell ref="S34:U36"/>
    <mergeCell ref="A27:F27"/>
    <mergeCell ref="A28:F28"/>
    <mergeCell ref="A29:F29"/>
    <mergeCell ref="A30:F30"/>
    <mergeCell ref="A31:F31"/>
    <mergeCell ref="A33:U33"/>
    <mergeCell ref="A34:N3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4.0"/>
    <col customWidth="1" min="3" max="3" width="35.0"/>
    <col customWidth="1" min="4" max="4" width="18.0"/>
    <col customWidth="1" min="5" max="5" width="14.0"/>
    <col customWidth="1" min="6" max="6" width="18.0"/>
    <col customWidth="1" min="7" max="26" width="8.71"/>
  </cols>
  <sheetData>
    <row r="1" ht="25.5" customHeight="1">
      <c r="A1" s="44" t="s">
        <v>69</v>
      </c>
      <c r="B1" s="2"/>
      <c r="C1" s="2"/>
      <c r="D1" s="2"/>
      <c r="E1" s="2"/>
      <c r="F1" s="3"/>
    </row>
    <row r="2" ht="30.0" customHeight="1">
      <c r="A2" s="45" t="s">
        <v>70</v>
      </c>
      <c r="B2" s="46" t="s">
        <v>43</v>
      </c>
      <c r="C2" s="46" t="s">
        <v>71</v>
      </c>
      <c r="D2" s="46" t="s">
        <v>72</v>
      </c>
      <c r="E2" s="46" t="s">
        <v>16</v>
      </c>
      <c r="F2" s="46" t="s">
        <v>73</v>
      </c>
    </row>
    <row r="3">
      <c r="A3" s="9" t="s">
        <v>74</v>
      </c>
      <c r="B3" s="9" t="s">
        <v>51</v>
      </c>
      <c r="C3" s="13" t="s">
        <v>75</v>
      </c>
      <c r="D3" s="47">
        <v>60.0</v>
      </c>
      <c r="E3" s="31">
        <f t="shared" ref="E3:E15" si="1">D3*0.16</f>
        <v>9.6</v>
      </c>
      <c r="F3" s="48">
        <f t="shared" ref="F3:F15" si="2">D3+E3</f>
        <v>69.6</v>
      </c>
    </row>
    <row r="4">
      <c r="A4" s="49" t="s">
        <v>76</v>
      </c>
      <c r="B4" s="49" t="s">
        <v>51</v>
      </c>
      <c r="C4" s="50" t="s">
        <v>77</v>
      </c>
      <c r="D4" s="51">
        <v>85.0</v>
      </c>
      <c r="E4" s="52">
        <f t="shared" si="1"/>
        <v>13.6</v>
      </c>
      <c r="F4" s="53">
        <f t="shared" si="2"/>
        <v>98.6</v>
      </c>
    </row>
    <row r="5">
      <c r="A5" s="9" t="s">
        <v>78</v>
      </c>
      <c r="B5" s="9" t="s">
        <v>51</v>
      </c>
      <c r="C5" s="13" t="s">
        <v>79</v>
      </c>
      <c r="D5" s="47">
        <v>75.0</v>
      </c>
      <c r="E5" s="31">
        <f t="shared" si="1"/>
        <v>12</v>
      </c>
      <c r="F5" s="48">
        <f t="shared" si="2"/>
        <v>87</v>
      </c>
    </row>
    <row r="6">
      <c r="A6" s="49" t="s">
        <v>80</v>
      </c>
      <c r="B6" s="49" t="s">
        <v>51</v>
      </c>
      <c r="C6" s="50" t="s">
        <v>81</v>
      </c>
      <c r="D6" s="51">
        <v>90.0</v>
      </c>
      <c r="E6" s="52">
        <f t="shared" si="1"/>
        <v>14.4</v>
      </c>
      <c r="F6" s="53">
        <f t="shared" si="2"/>
        <v>104.4</v>
      </c>
    </row>
    <row r="7">
      <c r="A7" s="9" t="s">
        <v>82</v>
      </c>
      <c r="B7" s="9" t="s">
        <v>51</v>
      </c>
      <c r="C7" s="13" t="s">
        <v>83</v>
      </c>
      <c r="D7" s="47">
        <v>150.0</v>
      </c>
      <c r="E7" s="31">
        <f t="shared" si="1"/>
        <v>24</v>
      </c>
      <c r="F7" s="48">
        <f t="shared" si="2"/>
        <v>174</v>
      </c>
    </row>
    <row r="8">
      <c r="A8" s="49" t="s">
        <v>84</v>
      </c>
      <c r="B8" s="49" t="s">
        <v>53</v>
      </c>
      <c r="C8" s="50" t="s">
        <v>85</v>
      </c>
      <c r="D8" s="51">
        <v>25.0</v>
      </c>
      <c r="E8" s="52">
        <f t="shared" si="1"/>
        <v>4</v>
      </c>
      <c r="F8" s="53">
        <f t="shared" si="2"/>
        <v>29</v>
      </c>
    </row>
    <row r="9">
      <c r="A9" s="9" t="s">
        <v>86</v>
      </c>
      <c r="B9" s="9" t="s">
        <v>53</v>
      </c>
      <c r="C9" s="13" t="s">
        <v>87</v>
      </c>
      <c r="D9" s="47">
        <v>20.0</v>
      </c>
      <c r="E9" s="31">
        <f t="shared" si="1"/>
        <v>3.2</v>
      </c>
      <c r="F9" s="48">
        <f t="shared" si="2"/>
        <v>23.2</v>
      </c>
    </row>
    <row r="10">
      <c r="A10" s="49" t="s">
        <v>88</v>
      </c>
      <c r="B10" s="49" t="s">
        <v>53</v>
      </c>
      <c r="C10" s="50" t="s">
        <v>89</v>
      </c>
      <c r="D10" s="51">
        <v>40.0</v>
      </c>
      <c r="E10" s="52">
        <f t="shared" si="1"/>
        <v>6.4</v>
      </c>
      <c r="F10" s="53">
        <f t="shared" si="2"/>
        <v>46.4</v>
      </c>
    </row>
    <row r="11">
      <c r="A11" s="9" t="s">
        <v>90</v>
      </c>
      <c r="B11" s="9" t="s">
        <v>53</v>
      </c>
      <c r="C11" s="13" t="s">
        <v>91</v>
      </c>
      <c r="D11" s="47">
        <v>30.0</v>
      </c>
      <c r="E11" s="31">
        <f t="shared" si="1"/>
        <v>4.8</v>
      </c>
      <c r="F11" s="48">
        <f t="shared" si="2"/>
        <v>34.8</v>
      </c>
    </row>
    <row r="12">
      <c r="A12" s="49" t="s">
        <v>92</v>
      </c>
      <c r="B12" s="49" t="s">
        <v>53</v>
      </c>
      <c r="C12" s="50" t="s">
        <v>93</v>
      </c>
      <c r="D12" s="51">
        <v>50.0</v>
      </c>
      <c r="E12" s="52">
        <f t="shared" si="1"/>
        <v>8</v>
      </c>
      <c r="F12" s="53">
        <f t="shared" si="2"/>
        <v>58</v>
      </c>
    </row>
    <row r="13">
      <c r="A13" s="9" t="s">
        <v>94</v>
      </c>
      <c r="B13" s="9" t="s">
        <v>55</v>
      </c>
      <c r="C13" s="13" t="s">
        <v>95</v>
      </c>
      <c r="D13" s="47">
        <v>45.0</v>
      </c>
      <c r="E13" s="31">
        <f t="shared" si="1"/>
        <v>7.2</v>
      </c>
      <c r="F13" s="48">
        <f t="shared" si="2"/>
        <v>52.2</v>
      </c>
    </row>
    <row r="14">
      <c r="A14" s="49" t="s">
        <v>96</v>
      </c>
      <c r="B14" s="49" t="s">
        <v>55</v>
      </c>
      <c r="C14" s="50" t="s">
        <v>97</v>
      </c>
      <c r="D14" s="51">
        <v>55.0</v>
      </c>
      <c r="E14" s="52">
        <f t="shared" si="1"/>
        <v>8.8</v>
      </c>
      <c r="F14" s="53">
        <f t="shared" si="2"/>
        <v>63.8</v>
      </c>
    </row>
    <row r="15">
      <c r="A15" s="9" t="s">
        <v>98</v>
      </c>
      <c r="B15" s="9" t="s">
        <v>55</v>
      </c>
      <c r="C15" s="13" t="s">
        <v>99</v>
      </c>
      <c r="D15" s="47">
        <v>50.0</v>
      </c>
      <c r="E15" s="31">
        <f t="shared" si="1"/>
        <v>8</v>
      </c>
      <c r="F15" s="48">
        <f t="shared" si="2"/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20.0"/>
    <col customWidth="1" min="9" max="26" width="8.71"/>
  </cols>
  <sheetData>
    <row r="1" ht="25.5" customHeight="1">
      <c r="A1" s="44" t="s">
        <v>100</v>
      </c>
      <c r="B1" s="2"/>
      <c r="C1" s="2"/>
      <c r="D1" s="2"/>
      <c r="E1" s="2"/>
      <c r="F1" s="2"/>
      <c r="G1" s="2"/>
      <c r="H1" s="3"/>
    </row>
    <row r="2">
      <c r="A2" s="46" t="s">
        <v>101</v>
      </c>
      <c r="B2" s="46" t="s">
        <v>102</v>
      </c>
      <c r="C2" s="46" t="s">
        <v>103</v>
      </c>
      <c r="D2" s="46" t="s">
        <v>104</v>
      </c>
      <c r="E2" s="46" t="s">
        <v>105</v>
      </c>
      <c r="F2" s="46" t="s">
        <v>47</v>
      </c>
      <c r="G2" s="46" t="s">
        <v>106</v>
      </c>
      <c r="H2" s="46" t="s">
        <v>17</v>
      </c>
    </row>
    <row r="3">
      <c r="A3" s="8" t="s">
        <v>107</v>
      </c>
      <c r="B3" s="9"/>
      <c r="C3" s="31"/>
      <c r="D3" s="31"/>
      <c r="E3" s="31"/>
      <c r="F3" s="31">
        <f t="shared" ref="F3:F9" si="1">SUM(C3:E3)</f>
        <v>0</v>
      </c>
      <c r="G3" s="31">
        <f t="shared" ref="G3:G9" si="2">F3*0.16</f>
        <v>0</v>
      </c>
      <c r="H3" s="31">
        <f t="shared" ref="H3:H9" si="3">F3+G3</f>
        <v>0</v>
      </c>
    </row>
    <row r="4">
      <c r="A4" s="54" t="s">
        <v>108</v>
      </c>
      <c r="B4" s="49"/>
      <c r="C4" s="52"/>
      <c r="D4" s="52"/>
      <c r="E4" s="52"/>
      <c r="F4" s="52">
        <f t="shared" si="1"/>
        <v>0</v>
      </c>
      <c r="G4" s="52">
        <f t="shared" si="2"/>
        <v>0</v>
      </c>
      <c r="H4" s="52">
        <f t="shared" si="3"/>
        <v>0</v>
      </c>
    </row>
    <row r="5">
      <c r="A5" s="8" t="s">
        <v>109</v>
      </c>
      <c r="B5" s="9"/>
      <c r="C5" s="31"/>
      <c r="D5" s="31"/>
      <c r="E5" s="31"/>
      <c r="F5" s="31">
        <f t="shared" si="1"/>
        <v>0</v>
      </c>
      <c r="G5" s="31">
        <f t="shared" si="2"/>
        <v>0</v>
      </c>
      <c r="H5" s="31">
        <f t="shared" si="3"/>
        <v>0</v>
      </c>
    </row>
    <row r="6">
      <c r="A6" s="54" t="s">
        <v>110</v>
      </c>
      <c r="B6" s="49"/>
      <c r="C6" s="52"/>
      <c r="D6" s="52"/>
      <c r="E6" s="52"/>
      <c r="F6" s="52">
        <f t="shared" si="1"/>
        <v>0</v>
      </c>
      <c r="G6" s="52">
        <f t="shared" si="2"/>
        <v>0</v>
      </c>
      <c r="H6" s="52">
        <f t="shared" si="3"/>
        <v>0</v>
      </c>
    </row>
    <row r="7">
      <c r="A7" s="8" t="s">
        <v>111</v>
      </c>
      <c r="B7" s="9"/>
      <c r="C7" s="31"/>
      <c r="D7" s="31"/>
      <c r="E7" s="31"/>
      <c r="F7" s="31">
        <f t="shared" si="1"/>
        <v>0</v>
      </c>
      <c r="G7" s="31">
        <f t="shared" si="2"/>
        <v>0</v>
      </c>
      <c r="H7" s="31">
        <f t="shared" si="3"/>
        <v>0</v>
      </c>
    </row>
    <row r="8">
      <c r="A8" s="54" t="s">
        <v>112</v>
      </c>
      <c r="B8" s="49"/>
      <c r="C8" s="52"/>
      <c r="D8" s="52"/>
      <c r="E8" s="52"/>
      <c r="F8" s="52">
        <f t="shared" si="1"/>
        <v>0</v>
      </c>
      <c r="G8" s="52">
        <f t="shared" si="2"/>
        <v>0</v>
      </c>
      <c r="H8" s="52">
        <f t="shared" si="3"/>
        <v>0</v>
      </c>
    </row>
    <row r="9">
      <c r="A9" s="8" t="s">
        <v>113</v>
      </c>
      <c r="B9" s="9"/>
      <c r="C9" s="31"/>
      <c r="D9" s="31"/>
      <c r="E9" s="31"/>
      <c r="F9" s="31">
        <f t="shared" si="1"/>
        <v>0</v>
      </c>
      <c r="G9" s="31">
        <f t="shared" si="2"/>
        <v>0</v>
      </c>
      <c r="H9" s="31">
        <f t="shared" si="3"/>
        <v>0</v>
      </c>
    </row>
    <row r="10" ht="15.0" customHeight="1">
      <c r="A10" s="18" t="s">
        <v>114</v>
      </c>
      <c r="B10" s="20"/>
      <c r="C10" s="21">
        <f t="shared" ref="C10:H10" si="4">SUM(C3:C9)</f>
        <v>0</v>
      </c>
      <c r="D10" s="21">
        <f t="shared" si="4"/>
        <v>0</v>
      </c>
      <c r="E10" s="21">
        <f t="shared" si="4"/>
        <v>0</v>
      </c>
      <c r="F10" s="21">
        <f t="shared" si="4"/>
        <v>0</v>
      </c>
      <c r="G10" s="21">
        <f t="shared" si="4"/>
        <v>0</v>
      </c>
      <c r="H10" s="21">
        <f t="shared" si="4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0:B10"/>
  </mergeCells>
  <printOptions/>
  <pageMargins bottom="1.0" footer="0.0" header="0.0" left="0.75" right="0.75" top="1.0"/>
  <pageSetup paperSize="9" orientation="portrait"/>
  <drawing r:id="rId1"/>
</worksheet>
</file>